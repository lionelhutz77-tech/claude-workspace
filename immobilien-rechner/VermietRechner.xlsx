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" sheetId="1" state="visible" r:id="rId1"/>
    <sheet xmlns:r="http://schemas.openxmlformats.org/officeDocument/2006/relationships" name="Projek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€;(#,##0) €;-"/>
    <numFmt numFmtId="165" formatCode="#,##0.00 €;(#,##0.00) €;-"/>
    <numFmt numFmtId="166" formatCode="0 &quot;m²&quot;"/>
    <numFmt numFmtId="167" formatCode="0.0%"/>
    <numFmt numFmtId="168" formatCode="0.0&quot;x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8B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3" borderId="1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4" fontId="5" fillId="0" borderId="0" pivotButton="0" quotePrefix="0" xfId="0"/>
    <xf numFmtId="167" fontId="6" fillId="3" borderId="1" applyAlignment="1" pivotButton="0" quotePrefix="0" xfId="0">
      <alignment horizontal="right" vertical="center"/>
    </xf>
    <xf numFmtId="164" fontId="3" fillId="0" borderId="0" pivotButton="0" quotePrefix="0" xfId="0"/>
    <xf numFmtId="0" fontId="3" fillId="4" borderId="0" pivotButton="0" quotePrefix="0" xfId="0"/>
    <xf numFmtId="0" fontId="5" fillId="4" borderId="0" pivotButton="0" quotePrefix="0" xfId="0"/>
    <xf numFmtId="164" fontId="3" fillId="4" borderId="0" pivotButton="0" quotePrefix="0" xfId="0"/>
    <xf numFmtId="165" fontId="5" fillId="4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7" fillId="2" borderId="0" pivotButton="0" quotePrefix="0" xfId="0"/>
    <xf numFmtId="0" fontId="5" fillId="2" borderId="0" pivotButton="0" quotePrefix="0" xfId="0"/>
    <xf numFmtId="164" fontId="7" fillId="2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" fontId="6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FlipperImmo</author>
  </authors>
  <commentList>
    <comment ref="I6" authorId="0" shapeId="0">
      <text>
        <t>Nur der NICHT umlagefähige Teil des Hausgelds (z.B. Verwaltung, Instandhaltungsrücklage der WEG). Umlagefähige Kosten trägt der Mieter.</t>
      </text>
    </comment>
    <comment ref="H9" authorId="0" shapeId="0">
      <text>
        <t>Puffer für Leerstand &amp; Mietausfall, in % der Kaltmiete. Üblich 2-5%.</t>
      </text>
    </comment>
    <comment ref="C10" authorId="0" shapeId="0">
      <text>
        <t>Grunderwerbsteuer NRW = 6,5%</t>
      </text>
    </comment>
    <comment ref="C13" authorId="0" shapeId="0">
      <text>
        <t>Anteil des Kaufpreises, der auf das Gebäude entfällt (nicht Grund &amp; Boden). Nur dieser wird abgeschrieben. Typ. 75-85%.</t>
      </text>
    </comment>
    <comment ref="C16" authorId="0" shapeId="0">
      <text>
        <t>100% = Vollfinanzierung inkl. Nebenkosten (110%-Finanzierung). 90% = du bringst 10% Eigenkapital ein.</t>
      </text>
    </comment>
    <comment ref="H20" authorId="0" shapeId="0">
      <text>
        <t>Dein persönlicher Grenzsteuersatz (inkl. Soli ca. 26-47%). Spitzensteuersatz 42%.</t>
      </text>
    </comment>
    <comment ref="I21" authorId="0" shapeId="0">
      <text>
        <t>Kaltmiete − Zinsen − AfA − lfd. Kosten. Tilgung ist NICHT absetzbar. Negativ = Verlust mindert deine Steuer.</t>
      </text>
    </comment>
    <comment ref="I27" authorId="0" shapeId="0">
      <text>
        <t>Jahreskaltmiete / Kaufpreis. Faustregel: ab ~4-5% interessant.</t>
      </text>
    </comment>
    <comment ref="I28" authorId="0" shapeId="0">
      <text>
        <t>(Jahreskaltmiete − lfd. Kosten) / Gesamtinvestition inkl. Nebenkosten.</t>
      </text>
    </comment>
    <comment ref="I29" authorId="0" shapeId="0">
      <text>
        <t>(Cashflow nach Steuer + Tilgung) / eingesetztes Eigenkapital. Bei 100%-Finanzierung nicht definiert.</t>
      </text>
    </comment>
    <comment ref="I30" authorId="0" shapeId="0">
      <text>
        <t>Kaufpreis / Jahreskaltmiete. Kehrwert der Bruttorendite. Niedrig = günstig (z.B. 20x = 5%).</t>
      </text>
    </comment>
  </commentList>
</comments>
</file>

<file path=xl/comments/comment2.xml><?xml version="1.0" encoding="utf-8"?>
<comments xmlns="http://schemas.openxmlformats.org/spreadsheetml/2006/main">
  <authors>
    <author>FlipperImmo</author>
  </authors>
  <commentList>
    <comment ref="C9" authorId="0" shapeId="0">
      <text>
        <t>Zins-Sensitivität: ändere diesen Wert (z.B. 5%, 6%, 7%) und schau, wie Restschuld &amp; Cashflow ab Jahr 11 reagieren.</t>
      </text>
    </comment>
    <comment ref="D42" authorId="0" shapeId="0">
      <text>
        <t>Ohne Wertsteigerung der Immobilie. Reiner Effekt aus Tilgung (Vermögensaufbau) plus kumuliertem Cashflow nach Steuer.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1" customWidth="1" min="3" max="3"/>
    <col width="13" customWidth="1" min="4" max="4"/>
    <col width="12" customWidth="1" min="5" max="5"/>
    <col width="4" customWidth="1" min="6" max="6"/>
    <col width="26" customWidth="1" min="7" max="7"/>
    <col width="11" customWidth="1" min="8" max="8"/>
    <col width="13" customWidth="1" min="9" max="9"/>
    <col width="3" customWidth="1" min="10" max="10"/>
    <col width="70" customWidth="1" min="19" max="19"/>
  </cols>
  <sheetData>
    <row r="2">
      <c r="B2" s="1" t="inlineStr">
        <is>
          <t>Immobilien-Rechner: Kaufen &amp; Vermieten (Buy &amp; Hold)</t>
        </is>
      </c>
      <c r="S2" s="2" t="inlineStr">
        <is>
          <t>Legende / Notizen</t>
        </is>
      </c>
    </row>
    <row r="3">
      <c r="B3" s="3" t="inlineStr">
        <is>
          <t>Vergleich monatliche Einnahmen vs. Ausgaben  →  Cashflow &amp; Rendite als Kaufentscheidung</t>
        </is>
      </c>
      <c r="S3" s="3" t="inlineStr">
        <is>
          <t>Hellblau = Eingabefeld  •  Schwarz = berechnet  •  Grün = Ergebnis</t>
        </is>
      </c>
    </row>
    <row r="5">
      <c r="B5" s="4" t="inlineStr">
        <is>
          <t>1. Ankauf  (€/m² in Spalte E)</t>
        </is>
      </c>
      <c r="G5" s="4" t="inlineStr">
        <is>
          <t>4. Laufende Kosten (nicht umlagefähig, p.M.)</t>
        </is>
      </c>
      <c r="S5" s="3" t="inlineStr">
        <is>
          <t>So nutzt du den Rechner:</t>
        </is>
      </c>
    </row>
    <row r="6">
      <c r="B6" s="5" t="inlineStr">
        <is>
          <t>Kaufpreis</t>
        </is>
      </c>
      <c r="D6" s="6" t="n">
        <v>180000</v>
      </c>
      <c r="E6" s="7">
        <f>D6/D7</f>
        <v/>
      </c>
      <c r="G6" s="5" t="inlineStr">
        <is>
          <t>nicht uml. Hausgeld</t>
        </is>
      </c>
      <c r="I6" s="6" t="n">
        <v>50</v>
      </c>
      <c r="S6" s="3" t="inlineStr">
        <is>
          <t>1. Trage nur die HELLBLAUEN Felder ein (Kaufpreis, Fläche, Zins, Miete ...).</t>
        </is>
      </c>
    </row>
    <row r="7">
      <c r="B7" s="5" t="inlineStr">
        <is>
          <t>Wohnfläche</t>
        </is>
      </c>
      <c r="D7" s="8" t="n">
        <v>60</v>
      </c>
      <c r="E7" s="9" t="inlineStr">
        <is>
          <t>m²</t>
        </is>
      </c>
      <c r="G7" s="5" t="inlineStr">
        <is>
          <t>Instandhaltung €/m²/Jahr</t>
        </is>
      </c>
      <c r="H7" s="10" t="n">
        <v>10</v>
      </c>
      <c r="I7" s="11">
        <f>H7*D7/12</f>
        <v/>
      </c>
      <c r="S7" s="3" t="inlineStr">
        <is>
          <t>2. Alles andere rechnet sich automatisch.</t>
        </is>
      </c>
    </row>
    <row r="8">
      <c r="B8" s="5" t="inlineStr">
        <is>
          <t>Notar + Grundbuch</t>
        </is>
      </c>
      <c r="C8" s="12" t="n">
        <v>0.015</v>
      </c>
      <c r="D8" s="11">
        <f>D6*C8</f>
        <v/>
      </c>
      <c r="E8" s="7">
        <f>D8/D7</f>
        <v/>
      </c>
      <c r="G8" s="5" t="inlineStr">
        <is>
          <t>Verwaltung (extern) p.M.</t>
        </is>
      </c>
      <c r="I8" s="6" t="n">
        <v>25</v>
      </c>
      <c r="S8" s="3" t="inlineStr">
        <is>
          <t>3. Schau auf Block 5 (Cashflow) und 6 (Renditen) – das ist deine Kaufentscheidung.</t>
        </is>
      </c>
    </row>
    <row r="9">
      <c r="B9" s="5" t="inlineStr">
        <is>
          <t>Makler</t>
        </is>
      </c>
      <c r="C9" s="12" t="n">
        <v>0.0357</v>
      </c>
      <c r="D9" s="11">
        <f>D6*C9</f>
        <v/>
      </c>
      <c r="E9" s="7">
        <f>D9/D7</f>
        <v/>
      </c>
      <c r="G9" s="5" t="inlineStr">
        <is>
          <t>Mietausfallwagnis</t>
        </is>
      </c>
      <c r="H9" s="12" t="n">
        <v>0.03</v>
      </c>
      <c r="I9" s="11">
        <f>D29*H9</f>
        <v/>
      </c>
    </row>
    <row r="10">
      <c r="B10" s="5" t="inlineStr">
        <is>
          <t>Grunderwerbsteuer</t>
        </is>
      </c>
      <c r="C10" s="12" t="n">
        <v>0.065</v>
      </c>
      <c r="D10" s="11">
        <f>D6*C10</f>
        <v/>
      </c>
      <c r="E10" s="7">
        <f>D10/D7</f>
        <v/>
      </c>
      <c r="G10" s="2" t="inlineStr">
        <is>
          <t>Summe lfd. Kosten p.M.</t>
        </is>
      </c>
      <c r="I10" s="13">
        <f>SUM(I6:I9)</f>
        <v/>
      </c>
      <c r="S10" s="3" t="inlineStr">
        <is>
          <t>Kapitaldienst = Zins + Tilgung. Das ist deine echte Monatsrate an die Bank.</t>
        </is>
      </c>
    </row>
    <row r="11">
      <c r="B11" s="2" t="inlineStr">
        <is>
          <t>Kaufnebenkosten</t>
        </is>
      </c>
      <c r="D11" s="13">
        <f>SUM(D8:D10)</f>
        <v/>
      </c>
      <c r="E11" s="7">
        <f>D11/D7</f>
        <v/>
      </c>
      <c r="G11" s="5" t="inlineStr">
        <is>
          <t>Summe lfd. Kosten p.a.</t>
        </is>
      </c>
      <c r="I11" s="11">
        <f>I10*12</f>
        <v/>
      </c>
      <c r="S11" s="3" t="inlineStr">
        <is>
          <t>Tilgung ist KEIN Verlust – du baust damit Eigenkapital/Vermögen auf (Block 6).</t>
        </is>
      </c>
    </row>
    <row r="12">
      <c r="B12" s="14" t="inlineStr">
        <is>
          <t>Gesamtinvestition</t>
        </is>
      </c>
      <c r="C12" s="15" t="inlineStr"/>
      <c r="D12" s="16">
        <f>D6+D11</f>
        <v/>
      </c>
      <c r="E12" s="17">
        <f>D12/D7</f>
        <v/>
      </c>
    </row>
    <row r="13">
      <c r="B13" s="5" t="inlineStr">
        <is>
          <t>Gebäudeanteil (für AfA)</t>
        </is>
      </c>
      <c r="C13" s="12" t="n">
        <v>0.8</v>
      </c>
      <c r="D13" s="11">
        <f>D6*C13</f>
        <v/>
      </c>
      <c r="E13" s="18" t="inlineStr">
        <is>
          <t>Gebäudewert</t>
        </is>
      </c>
      <c r="G13" s="4" t="inlineStr">
        <is>
          <t>5. Cashflow (Einnahmen − Ausgaben)</t>
        </is>
      </c>
      <c r="S13" s="3" t="inlineStr">
        <is>
          <t>Cashflow vor Steuer = Kaltmiete − Rate − lfd. Kosten.</t>
        </is>
      </c>
    </row>
    <row r="14">
      <c r="G14" s="5" t="inlineStr">
        <is>
          <t>Kaltmiete p.M.</t>
        </is>
      </c>
      <c r="I14" s="11">
        <f>D29</f>
        <v/>
      </c>
      <c r="S14" s="3" t="inlineStr">
        <is>
          <t>Positiver Cashflow = die Immobilie trägt sich selbst.</t>
        </is>
      </c>
    </row>
    <row r="15">
      <c r="B15" s="4" t="inlineStr">
        <is>
          <t>2. Finanzierung</t>
        </is>
      </c>
      <c r="G15" s="5" t="inlineStr">
        <is>
          <t>− Kapitaldienst (Zins+Tilgung)</t>
        </is>
      </c>
      <c r="I15" s="11">
        <f>-D22</f>
        <v/>
      </c>
    </row>
    <row r="16">
      <c r="B16" s="5" t="inlineStr">
        <is>
          <t>Finanzierungsquote</t>
        </is>
      </c>
      <c r="C16" s="12" t="n">
        <v>1</v>
      </c>
      <c r="D16" s="3" t="inlineStr">
        <is>
          <t>von Gesamtinvest.</t>
        </is>
      </c>
      <c r="G16" s="5" t="inlineStr">
        <is>
          <t>− lfd. Kosten</t>
        </is>
      </c>
      <c r="I16" s="11">
        <f>-I10</f>
        <v/>
      </c>
      <c r="S16" s="3" t="inlineStr">
        <is>
          <t>Steuer: oft entsteht durch Zinsen + AfA ein steuerlicher Verlust → Erstattung,</t>
        </is>
      </c>
    </row>
    <row r="17">
      <c r="B17" s="2" t="inlineStr">
        <is>
          <t>Darlehenssumme</t>
        </is>
      </c>
      <c r="D17" s="13">
        <f>D12*C16</f>
        <v/>
      </c>
      <c r="G17" s="19" t="inlineStr">
        <is>
          <t>Cashflow VOR Steuer p.M.</t>
        </is>
      </c>
      <c r="H17" s="20" t="inlineStr"/>
      <c r="I17" s="21">
        <f>I14+I15+I16</f>
        <v/>
      </c>
      <c r="S17" s="3" t="inlineStr">
        <is>
          <t>d.h. der Cashflow nach Steuer ist meist besser als vor Steuer.</t>
        </is>
      </c>
    </row>
    <row r="18">
      <c r="B18" s="5" t="inlineStr">
        <is>
          <t>Eigenkapital</t>
        </is>
      </c>
      <c r="D18" s="11">
        <f>D12-D17</f>
        <v/>
      </c>
      <c r="G18" s="5" t="inlineStr">
        <is>
          <t>Cashflow vor Steuer p.a.</t>
        </is>
      </c>
      <c r="I18" s="11">
        <f>I17*12</f>
        <v/>
      </c>
    </row>
    <row r="19">
      <c r="B19" s="5" t="inlineStr">
        <is>
          <t>Sollzins p.a.</t>
        </is>
      </c>
      <c r="C19" s="12" t="n">
        <v>0.04</v>
      </c>
      <c r="G19" s="5" t="inlineStr">
        <is>
          <t>AfA p.a. (2% Gebäude)</t>
        </is>
      </c>
      <c r="H19" s="12" t="n">
        <v>0.02</v>
      </c>
      <c r="I19" s="11">
        <f>D13*H19</f>
        <v/>
      </c>
      <c r="S19" s="3" t="inlineStr">
        <is>
          <t>Bruttomietrendite ab ~4-5% gilt als interessant (lagenabhängig).</t>
        </is>
      </c>
    </row>
    <row r="20">
      <c r="B20" s="5" t="inlineStr">
        <is>
          <t>anfängl. Tilgung p.a.</t>
        </is>
      </c>
      <c r="C20" s="12" t="n">
        <v>0.02</v>
      </c>
      <c r="G20" s="5" t="inlineStr">
        <is>
          <t>Grenzsteuersatz</t>
        </is>
      </c>
      <c r="H20" s="12" t="n">
        <v>0.42</v>
      </c>
      <c r="S20" s="3" t="inlineStr">
        <is>
          <t>Kaufpreisfaktor &lt; 25x ist solide, &lt; 20x günstig.</t>
        </is>
      </c>
    </row>
    <row r="21">
      <c r="B21" s="5" t="inlineStr">
        <is>
          <t>Annuität p.a.</t>
        </is>
      </c>
      <c r="D21" s="11">
        <f>D17*(C19+C20)</f>
        <v/>
      </c>
      <c r="G21" s="5" t="inlineStr">
        <is>
          <t>steuerl. Ergebnis p.a.</t>
        </is>
      </c>
      <c r="I21" s="11">
        <f>D30-D23*12-I19-I11</f>
        <v/>
      </c>
    </row>
    <row r="22">
      <c r="B22" s="2" t="inlineStr">
        <is>
          <t>Annuität p.M. (Kapitaldienst)</t>
        </is>
      </c>
      <c r="D22" s="13">
        <f>D21/12</f>
        <v/>
      </c>
      <c r="G22" s="5" t="inlineStr">
        <is>
          <t>Steuer p.a. (+Last / −Erstattung)</t>
        </is>
      </c>
      <c r="I22" s="11">
        <f>I21*H20</f>
        <v/>
      </c>
      <c r="S22" s="3" t="inlineStr">
        <is>
          <t>Block 8: Wie ändern sich Cashflow &amp; Rendite, wenn du den Preis drückst?</t>
        </is>
      </c>
    </row>
    <row r="23">
      <c r="B23" s="5" t="inlineStr">
        <is>
          <t xml:space="preserve">  davon Zins p.M. (Jahr 1)</t>
        </is>
      </c>
      <c r="D23" s="11">
        <f>D17*C19/12</f>
        <v/>
      </c>
      <c r="G23" s="19" t="inlineStr">
        <is>
          <t>Cashflow NACH Steuer p.a.</t>
        </is>
      </c>
      <c r="H23" s="20" t="inlineStr"/>
      <c r="I23" s="21">
        <f>I18-I22</f>
        <v/>
      </c>
    </row>
    <row r="24">
      <c r="B24" s="5" t="inlineStr">
        <is>
          <t xml:space="preserve">  davon Tilgung p.M.</t>
        </is>
      </c>
      <c r="D24" s="11">
        <f>D22-D23</f>
        <v/>
      </c>
      <c r="G24" s="14" t="inlineStr">
        <is>
          <t>Cashflow nach Steuer p.M.</t>
        </is>
      </c>
      <c r="H24" s="15" t="inlineStr"/>
      <c r="I24" s="22">
        <f>I23/12</f>
        <v/>
      </c>
      <c r="S24" s="3" t="inlineStr">
        <is>
          <t>Hinweis: vereinfachtes Modell, keine Steuer-/Anlageberatung.</t>
        </is>
      </c>
    </row>
    <row r="26">
      <c r="B26" s="4" t="inlineStr">
        <is>
          <t>3. Mieteinnahmen</t>
        </is>
      </c>
      <c r="G26" s="4" t="inlineStr">
        <is>
          <t>6. Renditen &amp; Kennzahlen</t>
        </is>
      </c>
    </row>
    <row r="27">
      <c r="B27" s="5" t="inlineStr">
        <is>
          <t>Kaltmiete €/m²</t>
        </is>
      </c>
      <c r="C27" s="10" t="n">
        <v>9</v>
      </c>
      <c r="G27" s="5" t="inlineStr">
        <is>
          <t>Bruttomietrendite</t>
        </is>
      </c>
      <c r="I27" s="23">
        <f>D30/D6</f>
        <v/>
      </c>
    </row>
    <row r="28">
      <c r="B28" s="5" t="inlineStr">
        <is>
          <t>Stellplatz / Sonstiges p.M.</t>
        </is>
      </c>
      <c r="D28" s="6" t="n">
        <v>0</v>
      </c>
      <c r="G28" s="5" t="inlineStr">
        <is>
          <t>Nettomietrendite</t>
        </is>
      </c>
      <c r="I28" s="23">
        <f>(D30-I11)/D12</f>
        <v/>
      </c>
    </row>
    <row r="29">
      <c r="B29" s="2" t="inlineStr">
        <is>
          <t>Kaltmiete p.M.</t>
        </is>
      </c>
      <c r="D29" s="13">
        <f>C27*D7+D28</f>
        <v/>
      </c>
      <c r="G29" s="5" t="inlineStr">
        <is>
          <t>Eigenkapitalrendite (n. St.)</t>
        </is>
      </c>
      <c r="I29" s="23">
        <f>IF(D18&lt;=0,"n/a (Vollfin.)",(I23+D24*12)/D18)</f>
        <v/>
      </c>
    </row>
    <row r="30">
      <c r="B30" s="2" t="inlineStr">
        <is>
          <t>Kaltmiete p.a.</t>
        </is>
      </c>
      <c r="D30" s="13">
        <f>D29*12</f>
        <v/>
      </c>
      <c r="G30" s="5" t="inlineStr">
        <is>
          <t>Kaufpreisfaktor</t>
        </is>
      </c>
      <c r="I30" s="24">
        <f>D6/D30</f>
        <v/>
      </c>
    </row>
    <row r="31">
      <c r="G31" s="5" t="inlineStr">
        <is>
          <t>Tilgung baut Vermögen p.a.</t>
        </is>
      </c>
      <c r="I31" s="25">
        <f>D24*12</f>
        <v/>
      </c>
    </row>
    <row r="33">
      <c r="G33" s="4" t="inlineStr">
        <is>
          <t>7. Bewertung</t>
        </is>
      </c>
    </row>
    <row r="34">
      <c r="G34" s="5" t="inlineStr">
        <is>
          <t>Cashflow vor Steuer</t>
        </is>
      </c>
      <c r="I34" s="26">
        <f>IF(I17&gt;=50,"positiv ✓",IF(I17&gt;=0,"knapp ±","negativ ✗"))</f>
        <v/>
      </c>
    </row>
    <row r="35">
      <c r="G35" s="5" t="inlineStr">
        <is>
          <t>Bruttomietrendite</t>
        </is>
      </c>
      <c r="I35" s="26">
        <f>IF(I27&gt;=0.045,"gut ✓",IF(I27&gt;=0.035,"ok ±","niedrig ✗"))</f>
        <v/>
      </c>
    </row>
    <row r="36">
      <c r="G36" s="14" t="inlineStr">
        <is>
          <t>Gesamturteil</t>
        </is>
      </c>
      <c r="H36" s="15" t="inlineStr"/>
      <c r="I36" s="27">
        <f>IF(AND(I17&gt;=0,I27&gt;=0.04),"Kaufen prüfen ✓",IF(I17&gt;=-100,"Grenzfall – verhandeln","Eher nein ✗"))</f>
        <v/>
      </c>
    </row>
    <row r="39">
      <c r="B39" s="4" t="inlineStr">
        <is>
          <t>8. Szenario: Kaufpreis-Verhandlung</t>
        </is>
      </c>
    </row>
    <row r="40">
      <c r="B40" s="28" t="inlineStr">
        <is>
          <t>Discount</t>
        </is>
      </c>
      <c r="C40" s="28" t="inlineStr">
        <is>
          <t>Kaufpreis</t>
        </is>
      </c>
      <c r="D40" s="28" t="inlineStr">
        <is>
          <t>Gesamtinvest.</t>
        </is>
      </c>
      <c r="E40" s="28" t="inlineStr">
        <is>
          <t>Darlehen</t>
        </is>
      </c>
      <c r="F40" s="28" t="inlineStr">
        <is>
          <t>Annuität p.M.</t>
        </is>
      </c>
      <c r="G40" s="28" t="inlineStr">
        <is>
          <t>CF vor St. p.M.</t>
        </is>
      </c>
      <c r="H40" s="28" t="inlineStr">
        <is>
          <t>Bruttorendite</t>
        </is>
      </c>
      <c r="I40" s="28" t="inlineStr">
        <is>
          <t>Nettorendite</t>
        </is>
      </c>
    </row>
    <row r="41">
      <c r="B41" s="12" t="n">
        <v>0</v>
      </c>
      <c r="C41" s="29">
        <f>$D$6*(1-B41)</f>
        <v/>
      </c>
      <c r="D41" s="29">
        <f>C41*(1+$C$8+$C$9+$C$10)</f>
        <v/>
      </c>
      <c r="E41" s="29">
        <f>D41*$C$16</f>
        <v/>
      </c>
      <c r="F41" s="29">
        <f>E41*($C$19+$C$20)/12</f>
        <v/>
      </c>
      <c r="G41" s="29">
        <f>$D$29-F41-$I$10</f>
        <v/>
      </c>
      <c r="H41" s="30">
        <f>$D$30/C41</f>
        <v/>
      </c>
      <c r="I41" s="30">
        <f>($D$30-$I$11)/D41</f>
        <v/>
      </c>
    </row>
    <row r="42">
      <c r="B42" s="12" t="n">
        <v>0.05</v>
      </c>
      <c r="C42" s="29">
        <f>$D$6*(1-B42)</f>
        <v/>
      </c>
      <c r="D42" s="29">
        <f>C42*(1+$C$8+$C$9+$C$10)</f>
        <v/>
      </c>
      <c r="E42" s="29">
        <f>D42*$C$16</f>
        <v/>
      </c>
      <c r="F42" s="29">
        <f>E42*($C$19+$C$20)/12</f>
        <v/>
      </c>
      <c r="G42" s="29">
        <f>$D$29-F42-$I$10</f>
        <v/>
      </c>
      <c r="H42" s="30">
        <f>$D$30/C42</f>
        <v/>
      </c>
      <c r="I42" s="30">
        <f>($D$30-$I$11)/D42</f>
        <v/>
      </c>
    </row>
    <row r="43">
      <c r="B43" s="12" t="n">
        <v>0.1</v>
      </c>
      <c r="C43" s="29">
        <f>$D$6*(1-B43)</f>
        <v/>
      </c>
      <c r="D43" s="29">
        <f>C43*(1+$C$8+$C$9+$C$10)</f>
        <v/>
      </c>
      <c r="E43" s="29">
        <f>D43*$C$16</f>
        <v/>
      </c>
      <c r="F43" s="29">
        <f>E43*($C$19+$C$20)/12</f>
        <v/>
      </c>
      <c r="G43" s="29">
        <f>$D$29-F43-$I$10</f>
        <v/>
      </c>
      <c r="H43" s="30">
        <f>$D$30/C43</f>
        <v/>
      </c>
      <c r="I43" s="30">
        <f>($D$30-$I$11)/D43</f>
        <v/>
      </c>
    </row>
    <row r="44">
      <c r="B44" s="12" t="n">
        <v>0.15</v>
      </c>
      <c r="C44" s="29">
        <f>$D$6*(1-B44)</f>
        <v/>
      </c>
      <c r="D44" s="29">
        <f>C44*(1+$C$8+$C$9+$C$10)</f>
        <v/>
      </c>
      <c r="E44" s="29">
        <f>D44*$C$16</f>
        <v/>
      </c>
      <c r="F44" s="29">
        <f>E44*($C$19+$C$20)/12</f>
        <v/>
      </c>
      <c r="G44" s="29">
        <f>$D$29-F44-$I$10</f>
        <v/>
      </c>
      <c r="H44" s="30">
        <f>$D$30/C44</f>
        <v/>
      </c>
      <c r="I44" s="30">
        <f>($D$30-$I$11)/D44</f>
        <v/>
      </c>
    </row>
    <row r="45">
      <c r="B45" s="12" t="n">
        <v>0.2</v>
      </c>
      <c r="C45" s="29">
        <f>$D$6*(1-B45)</f>
        <v/>
      </c>
      <c r="D45" s="29">
        <f>C45*(1+$C$8+$C$9+$C$10)</f>
        <v/>
      </c>
      <c r="E45" s="29">
        <f>D45*$C$16</f>
        <v/>
      </c>
      <c r="F45" s="29">
        <f>E45*($C$19+$C$20)/12</f>
        <v/>
      </c>
      <c r="G45" s="29">
        <f>$D$29-F45-$I$10</f>
        <v/>
      </c>
      <c r="H45" s="30">
        <f>$D$30/C45</f>
        <v/>
      </c>
      <c r="I45" s="30">
        <f>($D$30-$I$11)/D45</f>
        <v/>
      </c>
    </row>
  </sheetData>
  <mergeCells count="8">
    <mergeCell ref="B26:E26"/>
    <mergeCell ref="B39:I39"/>
    <mergeCell ref="G13:I13"/>
    <mergeCell ref="G5:I5"/>
    <mergeCell ref="B15:E15"/>
    <mergeCell ref="G26:I26"/>
    <mergeCell ref="B5:E5"/>
    <mergeCell ref="G33:I3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4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11" customWidth="1" min="4" max="4"/>
    <col width="10" customWidth="1" min="5" max="5"/>
    <col width="1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2">
      <c r="B2" s="1" t="inlineStr">
        <is>
          <t>20-Jahres-Projektion: Tilgungsplan, Cashflow &amp; Zins-Sensitivität</t>
        </is>
      </c>
    </row>
    <row r="3">
      <c r="B3" s="3" t="inlineStr">
        <is>
          <t>Annuitätendarlehen. Werte ziehen aus Blatt 'Kalkulation'. Hellblau = anpassbar.</t>
        </is>
      </c>
    </row>
    <row r="5">
      <c r="B5" s="4" t="inlineStr">
        <is>
          <t>Annahmen</t>
        </is>
      </c>
      <c r="E5" s="4" t="inlineStr">
        <is>
          <t>Herleitung (aus Kalkulation)</t>
        </is>
      </c>
    </row>
    <row r="6">
      <c r="B6" s="5" t="inlineStr">
        <is>
          <t>Mietsteigerung p.a.</t>
        </is>
      </c>
      <c r="C6" s="12" t="n">
        <v>0.015</v>
      </c>
      <c r="E6" s="5" t="inlineStr">
        <is>
          <t>Darlehen</t>
        </is>
      </c>
      <c r="G6" s="25">
        <f>Kalkulation!D17</f>
        <v/>
      </c>
    </row>
    <row r="7">
      <c r="B7" s="5" t="inlineStr">
        <is>
          <t>Kostensteigerung p.a.</t>
        </is>
      </c>
      <c r="C7" s="12" t="n">
        <v>0.02</v>
      </c>
      <c r="E7" s="5" t="inlineStr">
        <is>
          <t>Sollzins (Phase 1)</t>
        </is>
      </c>
      <c r="G7" s="31">
        <f>Kalkulation!C19</f>
        <v/>
      </c>
    </row>
    <row r="8">
      <c r="B8" s="5" t="inlineStr">
        <is>
          <t>Zinsbindung (Jahre)</t>
        </is>
      </c>
      <c r="C8" s="32" t="n">
        <v>10</v>
      </c>
      <c r="E8" s="5" t="inlineStr">
        <is>
          <t>anf. Tilgung</t>
        </is>
      </c>
      <c r="G8" s="31">
        <f>Kalkulation!C20</f>
        <v/>
      </c>
    </row>
    <row r="9">
      <c r="B9" s="5" t="inlineStr">
        <is>
          <t>Anschlusszins p.a.</t>
        </is>
      </c>
      <c r="C9" s="12" t="n">
        <v>0.05</v>
      </c>
      <c r="E9" s="5" t="inlineStr">
        <is>
          <t>Annuität Phase 1 p.a.</t>
        </is>
      </c>
      <c r="G9" s="25">
        <f>G6*(G7+G8)</f>
        <v/>
      </c>
    </row>
    <row r="10">
      <c r="E10" s="5" t="inlineStr">
        <is>
          <t>Restschuld bei Anschluss</t>
        </is>
      </c>
      <c r="G10" s="25">
        <f>G6*(1+G7)^C8-G9*((1+G7)^C8-1)/G7</f>
        <v/>
      </c>
    </row>
    <row r="11">
      <c r="E11" s="5" t="inlineStr">
        <is>
          <t>Annuität Phase 2 p.a.</t>
        </is>
      </c>
      <c r="G11" s="25">
        <f>G10*(C9+G8)</f>
        <v/>
      </c>
    </row>
    <row r="13">
      <c r="A13" s="4" t="inlineStr">
        <is>
          <t>Tilgungsplan &amp; Cashflow (20 Jahre)</t>
        </is>
      </c>
    </row>
    <row r="14">
      <c r="A14" s="33" t="inlineStr">
        <is>
          <t>Jahr</t>
        </is>
      </c>
      <c r="B14" s="33" t="inlineStr">
        <is>
          <t>Restschuld
Anfang</t>
        </is>
      </c>
      <c r="C14" s="33" t="inlineStr">
        <is>
          <t>Zinssatz</t>
        </is>
      </c>
      <c r="D14" s="33" t="inlineStr">
        <is>
          <t>Zins</t>
        </is>
      </c>
      <c r="E14" s="33" t="inlineStr">
        <is>
          <t>Tilgung</t>
        </is>
      </c>
      <c r="F14" s="33" t="inlineStr">
        <is>
          <t>Restschuld
Ende</t>
        </is>
      </c>
      <c r="G14" s="33" t="inlineStr">
        <is>
          <t>Annuität</t>
        </is>
      </c>
      <c r="H14" s="33" t="inlineStr">
        <is>
          <t>Kaltmiete</t>
        </is>
      </c>
      <c r="I14" s="33" t="inlineStr">
        <is>
          <t>lfd. Kosten</t>
        </is>
      </c>
      <c r="J14" s="33" t="inlineStr">
        <is>
          <t>CF vor St.</t>
        </is>
      </c>
      <c r="K14" s="33" t="inlineStr">
        <is>
          <t>CF n. St.</t>
        </is>
      </c>
      <c r="L14" s="33" t="inlineStr">
        <is>
          <t>CF kumul.
(n. St.)</t>
        </is>
      </c>
    </row>
    <row r="15">
      <c r="A15" s="34" t="n">
        <v>1</v>
      </c>
      <c r="B15" s="29">
        <f>$G$6</f>
        <v/>
      </c>
      <c r="C15" s="35">
        <f>IF(A15&lt;=$C$8,$G$7,$C$9)</f>
        <v/>
      </c>
      <c r="D15" s="29">
        <f>B15*C15</f>
        <v/>
      </c>
      <c r="E15" s="29">
        <f>G15-D15</f>
        <v/>
      </c>
      <c r="F15" s="29">
        <f>MAX(0,B15-E15)</f>
        <v/>
      </c>
      <c r="G15" s="29">
        <f>MIN(IF(A15&lt;=$C$8,$G$9,$G$11),B15+D15)</f>
        <v/>
      </c>
      <c r="H15" s="29">
        <f>Kalkulation!$D$30*(1+$C$6)^(A15-1)</f>
        <v/>
      </c>
      <c r="I15" s="29">
        <f>Kalkulation!$I$11*(1+$C$7)^(A15-1)</f>
        <v/>
      </c>
      <c r="J15" s="29">
        <f>H15-G15-I15</f>
        <v/>
      </c>
      <c r="K15" s="29">
        <f>J15-((H15-D15-Kalkulation!$I$19-I15)*Kalkulation!$H$20)</f>
        <v/>
      </c>
      <c r="L15" s="29">
        <f>K15</f>
        <v/>
      </c>
    </row>
    <row r="16">
      <c r="A16" s="34">
        <f>A15+1</f>
        <v/>
      </c>
      <c r="B16" s="29">
        <f>F15</f>
        <v/>
      </c>
      <c r="C16" s="35">
        <f>IF(A16&lt;=$C$8,$G$7,$C$9)</f>
        <v/>
      </c>
      <c r="D16" s="29">
        <f>B16*C16</f>
        <v/>
      </c>
      <c r="E16" s="29">
        <f>G16-D16</f>
        <v/>
      </c>
      <c r="F16" s="29">
        <f>MAX(0,B16-E16)</f>
        <v/>
      </c>
      <c r="G16" s="29">
        <f>MIN(IF(A16&lt;=$C$8,$G$9,$G$11),B16+D16)</f>
        <v/>
      </c>
      <c r="H16" s="29">
        <f>Kalkulation!$D$30*(1+$C$6)^(A16-1)</f>
        <v/>
      </c>
      <c r="I16" s="29">
        <f>Kalkulation!$I$11*(1+$C$7)^(A16-1)</f>
        <v/>
      </c>
      <c r="J16" s="29">
        <f>H16-G16-I16</f>
        <v/>
      </c>
      <c r="K16" s="29">
        <f>J16-((H16-D16-Kalkulation!$I$19-I16)*Kalkulation!$H$20)</f>
        <v/>
      </c>
      <c r="L16" s="29">
        <f>L15+K16</f>
        <v/>
      </c>
    </row>
    <row r="17">
      <c r="A17" s="34">
        <f>A16+1</f>
        <v/>
      </c>
      <c r="B17" s="29">
        <f>F16</f>
        <v/>
      </c>
      <c r="C17" s="35">
        <f>IF(A17&lt;=$C$8,$G$7,$C$9)</f>
        <v/>
      </c>
      <c r="D17" s="29">
        <f>B17*C17</f>
        <v/>
      </c>
      <c r="E17" s="29">
        <f>G17-D17</f>
        <v/>
      </c>
      <c r="F17" s="29">
        <f>MAX(0,B17-E17)</f>
        <v/>
      </c>
      <c r="G17" s="29">
        <f>MIN(IF(A17&lt;=$C$8,$G$9,$G$11),B17+D17)</f>
        <v/>
      </c>
      <c r="H17" s="29">
        <f>Kalkulation!$D$30*(1+$C$6)^(A17-1)</f>
        <v/>
      </c>
      <c r="I17" s="29">
        <f>Kalkulation!$I$11*(1+$C$7)^(A17-1)</f>
        <v/>
      </c>
      <c r="J17" s="29">
        <f>H17-G17-I17</f>
        <v/>
      </c>
      <c r="K17" s="29">
        <f>J17-((H17-D17-Kalkulation!$I$19-I17)*Kalkulation!$H$20)</f>
        <v/>
      </c>
      <c r="L17" s="29">
        <f>L16+K17</f>
        <v/>
      </c>
    </row>
    <row r="18">
      <c r="A18" s="34">
        <f>A17+1</f>
        <v/>
      </c>
      <c r="B18" s="29">
        <f>F17</f>
        <v/>
      </c>
      <c r="C18" s="35">
        <f>IF(A18&lt;=$C$8,$G$7,$C$9)</f>
        <v/>
      </c>
      <c r="D18" s="29">
        <f>B18*C18</f>
        <v/>
      </c>
      <c r="E18" s="29">
        <f>G18-D18</f>
        <v/>
      </c>
      <c r="F18" s="29">
        <f>MAX(0,B18-E18)</f>
        <v/>
      </c>
      <c r="G18" s="29">
        <f>MIN(IF(A18&lt;=$C$8,$G$9,$G$11),B18+D18)</f>
        <v/>
      </c>
      <c r="H18" s="29">
        <f>Kalkulation!$D$30*(1+$C$6)^(A18-1)</f>
        <v/>
      </c>
      <c r="I18" s="29">
        <f>Kalkulation!$I$11*(1+$C$7)^(A18-1)</f>
        <v/>
      </c>
      <c r="J18" s="29">
        <f>H18-G18-I18</f>
        <v/>
      </c>
      <c r="K18" s="29">
        <f>J18-((H18-D18-Kalkulation!$I$19-I18)*Kalkulation!$H$20)</f>
        <v/>
      </c>
      <c r="L18" s="29">
        <f>L17+K18</f>
        <v/>
      </c>
    </row>
    <row r="19">
      <c r="A19" s="34">
        <f>A18+1</f>
        <v/>
      </c>
      <c r="B19" s="29">
        <f>F18</f>
        <v/>
      </c>
      <c r="C19" s="35">
        <f>IF(A19&lt;=$C$8,$G$7,$C$9)</f>
        <v/>
      </c>
      <c r="D19" s="29">
        <f>B19*C19</f>
        <v/>
      </c>
      <c r="E19" s="29">
        <f>G19-D19</f>
        <v/>
      </c>
      <c r="F19" s="29">
        <f>MAX(0,B19-E19)</f>
        <v/>
      </c>
      <c r="G19" s="29">
        <f>MIN(IF(A19&lt;=$C$8,$G$9,$G$11),B19+D19)</f>
        <v/>
      </c>
      <c r="H19" s="29">
        <f>Kalkulation!$D$30*(1+$C$6)^(A19-1)</f>
        <v/>
      </c>
      <c r="I19" s="29">
        <f>Kalkulation!$I$11*(1+$C$7)^(A19-1)</f>
        <v/>
      </c>
      <c r="J19" s="29">
        <f>H19-G19-I19</f>
        <v/>
      </c>
      <c r="K19" s="29">
        <f>J19-((H19-D19-Kalkulation!$I$19-I19)*Kalkulation!$H$20)</f>
        <v/>
      </c>
      <c r="L19" s="29">
        <f>L18+K19</f>
        <v/>
      </c>
    </row>
    <row r="20">
      <c r="A20" s="34">
        <f>A19+1</f>
        <v/>
      </c>
      <c r="B20" s="29">
        <f>F19</f>
        <v/>
      </c>
      <c r="C20" s="35">
        <f>IF(A20&lt;=$C$8,$G$7,$C$9)</f>
        <v/>
      </c>
      <c r="D20" s="29">
        <f>B20*C20</f>
        <v/>
      </c>
      <c r="E20" s="29">
        <f>G20-D20</f>
        <v/>
      </c>
      <c r="F20" s="29">
        <f>MAX(0,B20-E20)</f>
        <v/>
      </c>
      <c r="G20" s="29">
        <f>MIN(IF(A20&lt;=$C$8,$G$9,$G$11),B20+D20)</f>
        <v/>
      </c>
      <c r="H20" s="29">
        <f>Kalkulation!$D$30*(1+$C$6)^(A20-1)</f>
        <v/>
      </c>
      <c r="I20" s="29">
        <f>Kalkulation!$I$11*(1+$C$7)^(A20-1)</f>
        <v/>
      </c>
      <c r="J20" s="29">
        <f>H20-G20-I20</f>
        <v/>
      </c>
      <c r="K20" s="29">
        <f>J20-((H20-D20-Kalkulation!$I$19-I20)*Kalkulation!$H$20)</f>
        <v/>
      </c>
      <c r="L20" s="29">
        <f>L19+K20</f>
        <v/>
      </c>
    </row>
    <row r="21">
      <c r="A21" s="34">
        <f>A20+1</f>
        <v/>
      </c>
      <c r="B21" s="29">
        <f>F20</f>
        <v/>
      </c>
      <c r="C21" s="35">
        <f>IF(A21&lt;=$C$8,$G$7,$C$9)</f>
        <v/>
      </c>
      <c r="D21" s="29">
        <f>B21*C21</f>
        <v/>
      </c>
      <c r="E21" s="29">
        <f>G21-D21</f>
        <v/>
      </c>
      <c r="F21" s="29">
        <f>MAX(0,B21-E21)</f>
        <v/>
      </c>
      <c r="G21" s="29">
        <f>MIN(IF(A21&lt;=$C$8,$G$9,$G$11),B21+D21)</f>
        <v/>
      </c>
      <c r="H21" s="29">
        <f>Kalkulation!$D$30*(1+$C$6)^(A21-1)</f>
        <v/>
      </c>
      <c r="I21" s="29">
        <f>Kalkulation!$I$11*(1+$C$7)^(A21-1)</f>
        <v/>
      </c>
      <c r="J21" s="29">
        <f>H21-G21-I21</f>
        <v/>
      </c>
      <c r="K21" s="29">
        <f>J21-((H21-D21-Kalkulation!$I$19-I21)*Kalkulation!$H$20)</f>
        <v/>
      </c>
      <c r="L21" s="29">
        <f>L20+K21</f>
        <v/>
      </c>
    </row>
    <row r="22">
      <c r="A22" s="34">
        <f>A21+1</f>
        <v/>
      </c>
      <c r="B22" s="29">
        <f>F21</f>
        <v/>
      </c>
      <c r="C22" s="35">
        <f>IF(A22&lt;=$C$8,$G$7,$C$9)</f>
        <v/>
      </c>
      <c r="D22" s="29">
        <f>B22*C22</f>
        <v/>
      </c>
      <c r="E22" s="29">
        <f>G22-D22</f>
        <v/>
      </c>
      <c r="F22" s="29">
        <f>MAX(0,B22-E22)</f>
        <v/>
      </c>
      <c r="G22" s="29">
        <f>MIN(IF(A22&lt;=$C$8,$G$9,$G$11),B22+D22)</f>
        <v/>
      </c>
      <c r="H22" s="29">
        <f>Kalkulation!$D$30*(1+$C$6)^(A22-1)</f>
        <v/>
      </c>
      <c r="I22" s="29">
        <f>Kalkulation!$I$11*(1+$C$7)^(A22-1)</f>
        <v/>
      </c>
      <c r="J22" s="29">
        <f>H22-G22-I22</f>
        <v/>
      </c>
      <c r="K22" s="29">
        <f>J22-((H22-D22-Kalkulation!$I$19-I22)*Kalkulation!$H$20)</f>
        <v/>
      </c>
      <c r="L22" s="29">
        <f>L21+K22</f>
        <v/>
      </c>
    </row>
    <row r="23">
      <c r="A23" s="34">
        <f>A22+1</f>
        <v/>
      </c>
      <c r="B23" s="29">
        <f>F22</f>
        <v/>
      </c>
      <c r="C23" s="35">
        <f>IF(A23&lt;=$C$8,$G$7,$C$9)</f>
        <v/>
      </c>
      <c r="D23" s="29">
        <f>B23*C23</f>
        <v/>
      </c>
      <c r="E23" s="29">
        <f>G23-D23</f>
        <v/>
      </c>
      <c r="F23" s="29">
        <f>MAX(0,B23-E23)</f>
        <v/>
      </c>
      <c r="G23" s="29">
        <f>MIN(IF(A23&lt;=$C$8,$G$9,$G$11),B23+D23)</f>
        <v/>
      </c>
      <c r="H23" s="29">
        <f>Kalkulation!$D$30*(1+$C$6)^(A23-1)</f>
        <v/>
      </c>
      <c r="I23" s="29">
        <f>Kalkulation!$I$11*(1+$C$7)^(A23-1)</f>
        <v/>
      </c>
      <c r="J23" s="29">
        <f>H23-G23-I23</f>
        <v/>
      </c>
      <c r="K23" s="29">
        <f>J23-((H23-D23-Kalkulation!$I$19-I23)*Kalkulation!$H$20)</f>
        <v/>
      </c>
      <c r="L23" s="29">
        <f>L22+K23</f>
        <v/>
      </c>
    </row>
    <row r="24">
      <c r="A24" s="34">
        <f>A23+1</f>
        <v/>
      </c>
      <c r="B24" s="29">
        <f>F23</f>
        <v/>
      </c>
      <c r="C24" s="35">
        <f>IF(A24&lt;=$C$8,$G$7,$C$9)</f>
        <v/>
      </c>
      <c r="D24" s="29">
        <f>B24*C24</f>
        <v/>
      </c>
      <c r="E24" s="29">
        <f>G24-D24</f>
        <v/>
      </c>
      <c r="F24" s="29">
        <f>MAX(0,B24-E24)</f>
        <v/>
      </c>
      <c r="G24" s="29">
        <f>MIN(IF(A24&lt;=$C$8,$G$9,$G$11),B24+D24)</f>
        <v/>
      </c>
      <c r="H24" s="29">
        <f>Kalkulation!$D$30*(1+$C$6)^(A24-1)</f>
        <v/>
      </c>
      <c r="I24" s="29">
        <f>Kalkulation!$I$11*(1+$C$7)^(A24-1)</f>
        <v/>
      </c>
      <c r="J24" s="29">
        <f>H24-G24-I24</f>
        <v/>
      </c>
      <c r="K24" s="29">
        <f>J24-((H24-D24-Kalkulation!$I$19-I24)*Kalkulation!$H$20)</f>
        <v/>
      </c>
      <c r="L24" s="29">
        <f>L23+K24</f>
        <v/>
      </c>
    </row>
    <row r="25">
      <c r="A25" s="34">
        <f>A24+1</f>
        <v/>
      </c>
      <c r="B25" s="29">
        <f>F24</f>
        <v/>
      </c>
      <c r="C25" s="35">
        <f>IF(A25&lt;=$C$8,$G$7,$C$9)</f>
        <v/>
      </c>
      <c r="D25" s="29">
        <f>B25*C25</f>
        <v/>
      </c>
      <c r="E25" s="29">
        <f>G25-D25</f>
        <v/>
      </c>
      <c r="F25" s="29">
        <f>MAX(0,B25-E25)</f>
        <v/>
      </c>
      <c r="G25" s="29">
        <f>MIN(IF(A25&lt;=$C$8,$G$9,$G$11),B25+D25)</f>
        <v/>
      </c>
      <c r="H25" s="29">
        <f>Kalkulation!$D$30*(1+$C$6)^(A25-1)</f>
        <v/>
      </c>
      <c r="I25" s="29">
        <f>Kalkulation!$I$11*(1+$C$7)^(A25-1)</f>
        <v/>
      </c>
      <c r="J25" s="29">
        <f>H25-G25-I25</f>
        <v/>
      </c>
      <c r="K25" s="29">
        <f>J25-((H25-D25-Kalkulation!$I$19-I25)*Kalkulation!$H$20)</f>
        <v/>
      </c>
      <c r="L25" s="29">
        <f>L24+K25</f>
        <v/>
      </c>
    </row>
    <row r="26">
      <c r="A26" s="34">
        <f>A25+1</f>
        <v/>
      </c>
      <c r="B26" s="29">
        <f>F25</f>
        <v/>
      </c>
      <c r="C26" s="35">
        <f>IF(A26&lt;=$C$8,$G$7,$C$9)</f>
        <v/>
      </c>
      <c r="D26" s="29">
        <f>B26*C26</f>
        <v/>
      </c>
      <c r="E26" s="29">
        <f>G26-D26</f>
        <v/>
      </c>
      <c r="F26" s="29">
        <f>MAX(0,B26-E26)</f>
        <v/>
      </c>
      <c r="G26" s="29">
        <f>MIN(IF(A26&lt;=$C$8,$G$9,$G$11),B26+D26)</f>
        <v/>
      </c>
      <c r="H26" s="29">
        <f>Kalkulation!$D$30*(1+$C$6)^(A26-1)</f>
        <v/>
      </c>
      <c r="I26" s="29">
        <f>Kalkulation!$I$11*(1+$C$7)^(A26-1)</f>
        <v/>
      </c>
      <c r="J26" s="29">
        <f>H26-G26-I26</f>
        <v/>
      </c>
      <c r="K26" s="29">
        <f>J26-((H26-D26-Kalkulation!$I$19-I26)*Kalkulation!$H$20)</f>
        <v/>
      </c>
      <c r="L26" s="29">
        <f>L25+K26</f>
        <v/>
      </c>
    </row>
    <row r="27">
      <c r="A27" s="34">
        <f>A26+1</f>
        <v/>
      </c>
      <c r="B27" s="29">
        <f>F26</f>
        <v/>
      </c>
      <c r="C27" s="35">
        <f>IF(A27&lt;=$C$8,$G$7,$C$9)</f>
        <v/>
      </c>
      <c r="D27" s="29">
        <f>B27*C27</f>
        <v/>
      </c>
      <c r="E27" s="29">
        <f>G27-D27</f>
        <v/>
      </c>
      <c r="F27" s="29">
        <f>MAX(0,B27-E27)</f>
        <v/>
      </c>
      <c r="G27" s="29">
        <f>MIN(IF(A27&lt;=$C$8,$G$9,$G$11),B27+D27)</f>
        <v/>
      </c>
      <c r="H27" s="29">
        <f>Kalkulation!$D$30*(1+$C$6)^(A27-1)</f>
        <v/>
      </c>
      <c r="I27" s="29">
        <f>Kalkulation!$I$11*(1+$C$7)^(A27-1)</f>
        <v/>
      </c>
      <c r="J27" s="29">
        <f>H27-G27-I27</f>
        <v/>
      </c>
      <c r="K27" s="29">
        <f>J27-((H27-D27-Kalkulation!$I$19-I27)*Kalkulation!$H$20)</f>
        <v/>
      </c>
      <c r="L27" s="29">
        <f>L26+K27</f>
        <v/>
      </c>
    </row>
    <row r="28">
      <c r="A28" s="34">
        <f>A27+1</f>
        <v/>
      </c>
      <c r="B28" s="29">
        <f>F27</f>
        <v/>
      </c>
      <c r="C28" s="35">
        <f>IF(A28&lt;=$C$8,$G$7,$C$9)</f>
        <v/>
      </c>
      <c r="D28" s="29">
        <f>B28*C28</f>
        <v/>
      </c>
      <c r="E28" s="29">
        <f>G28-D28</f>
        <v/>
      </c>
      <c r="F28" s="29">
        <f>MAX(0,B28-E28)</f>
        <v/>
      </c>
      <c r="G28" s="29">
        <f>MIN(IF(A28&lt;=$C$8,$G$9,$G$11),B28+D28)</f>
        <v/>
      </c>
      <c r="H28" s="29">
        <f>Kalkulation!$D$30*(1+$C$6)^(A28-1)</f>
        <v/>
      </c>
      <c r="I28" s="29">
        <f>Kalkulation!$I$11*(1+$C$7)^(A28-1)</f>
        <v/>
      </c>
      <c r="J28" s="29">
        <f>H28-G28-I28</f>
        <v/>
      </c>
      <c r="K28" s="29">
        <f>J28-((H28-D28-Kalkulation!$I$19-I28)*Kalkulation!$H$20)</f>
        <v/>
      </c>
      <c r="L28" s="29">
        <f>L27+K28</f>
        <v/>
      </c>
    </row>
    <row r="29">
      <c r="A29" s="34">
        <f>A28+1</f>
        <v/>
      </c>
      <c r="B29" s="29">
        <f>F28</f>
        <v/>
      </c>
      <c r="C29" s="35">
        <f>IF(A29&lt;=$C$8,$G$7,$C$9)</f>
        <v/>
      </c>
      <c r="D29" s="29">
        <f>B29*C29</f>
        <v/>
      </c>
      <c r="E29" s="29">
        <f>G29-D29</f>
        <v/>
      </c>
      <c r="F29" s="29">
        <f>MAX(0,B29-E29)</f>
        <v/>
      </c>
      <c r="G29" s="29">
        <f>MIN(IF(A29&lt;=$C$8,$G$9,$G$11),B29+D29)</f>
        <v/>
      </c>
      <c r="H29" s="29">
        <f>Kalkulation!$D$30*(1+$C$6)^(A29-1)</f>
        <v/>
      </c>
      <c r="I29" s="29">
        <f>Kalkulation!$I$11*(1+$C$7)^(A29-1)</f>
        <v/>
      </c>
      <c r="J29" s="29">
        <f>H29-G29-I29</f>
        <v/>
      </c>
      <c r="K29" s="29">
        <f>J29-((H29-D29-Kalkulation!$I$19-I29)*Kalkulation!$H$20)</f>
        <v/>
      </c>
      <c r="L29" s="29">
        <f>L28+K29</f>
        <v/>
      </c>
    </row>
    <row r="30">
      <c r="A30" s="34">
        <f>A29+1</f>
        <v/>
      </c>
      <c r="B30" s="29">
        <f>F29</f>
        <v/>
      </c>
      <c r="C30" s="35">
        <f>IF(A30&lt;=$C$8,$G$7,$C$9)</f>
        <v/>
      </c>
      <c r="D30" s="29">
        <f>B30*C30</f>
        <v/>
      </c>
      <c r="E30" s="29">
        <f>G30-D30</f>
        <v/>
      </c>
      <c r="F30" s="29">
        <f>MAX(0,B30-E30)</f>
        <v/>
      </c>
      <c r="G30" s="29">
        <f>MIN(IF(A30&lt;=$C$8,$G$9,$G$11),B30+D30)</f>
        <v/>
      </c>
      <c r="H30" s="29">
        <f>Kalkulation!$D$30*(1+$C$6)^(A30-1)</f>
        <v/>
      </c>
      <c r="I30" s="29">
        <f>Kalkulation!$I$11*(1+$C$7)^(A30-1)</f>
        <v/>
      </c>
      <c r="J30" s="29">
        <f>H30-G30-I30</f>
        <v/>
      </c>
      <c r="K30" s="29">
        <f>J30-((H30-D30-Kalkulation!$I$19-I30)*Kalkulation!$H$20)</f>
        <v/>
      </c>
      <c r="L30" s="29">
        <f>L29+K30</f>
        <v/>
      </c>
    </row>
    <row r="31">
      <c r="A31" s="34">
        <f>A30+1</f>
        <v/>
      </c>
      <c r="B31" s="29">
        <f>F30</f>
        <v/>
      </c>
      <c r="C31" s="35">
        <f>IF(A31&lt;=$C$8,$G$7,$C$9)</f>
        <v/>
      </c>
      <c r="D31" s="29">
        <f>B31*C31</f>
        <v/>
      </c>
      <c r="E31" s="29">
        <f>G31-D31</f>
        <v/>
      </c>
      <c r="F31" s="29">
        <f>MAX(0,B31-E31)</f>
        <v/>
      </c>
      <c r="G31" s="29">
        <f>MIN(IF(A31&lt;=$C$8,$G$9,$G$11),B31+D31)</f>
        <v/>
      </c>
      <c r="H31" s="29">
        <f>Kalkulation!$D$30*(1+$C$6)^(A31-1)</f>
        <v/>
      </c>
      <c r="I31" s="29">
        <f>Kalkulation!$I$11*(1+$C$7)^(A31-1)</f>
        <v/>
      </c>
      <c r="J31" s="29">
        <f>H31-G31-I31</f>
        <v/>
      </c>
      <c r="K31" s="29">
        <f>J31-((H31-D31-Kalkulation!$I$19-I31)*Kalkulation!$H$20)</f>
        <v/>
      </c>
      <c r="L31" s="29">
        <f>L30+K31</f>
        <v/>
      </c>
    </row>
    <row r="32">
      <c r="A32" s="34">
        <f>A31+1</f>
        <v/>
      </c>
      <c r="B32" s="29">
        <f>F31</f>
        <v/>
      </c>
      <c r="C32" s="35">
        <f>IF(A32&lt;=$C$8,$G$7,$C$9)</f>
        <v/>
      </c>
      <c r="D32" s="29">
        <f>B32*C32</f>
        <v/>
      </c>
      <c r="E32" s="29">
        <f>G32-D32</f>
        <v/>
      </c>
      <c r="F32" s="29">
        <f>MAX(0,B32-E32)</f>
        <v/>
      </c>
      <c r="G32" s="29">
        <f>MIN(IF(A32&lt;=$C$8,$G$9,$G$11),B32+D32)</f>
        <v/>
      </c>
      <c r="H32" s="29">
        <f>Kalkulation!$D$30*(1+$C$6)^(A32-1)</f>
        <v/>
      </c>
      <c r="I32" s="29">
        <f>Kalkulation!$I$11*(1+$C$7)^(A32-1)</f>
        <v/>
      </c>
      <c r="J32" s="29">
        <f>H32-G32-I32</f>
        <v/>
      </c>
      <c r="K32" s="29">
        <f>J32-((H32-D32-Kalkulation!$I$19-I32)*Kalkulation!$H$20)</f>
        <v/>
      </c>
      <c r="L32" s="29">
        <f>L31+K32</f>
        <v/>
      </c>
    </row>
    <row r="33">
      <c r="A33" s="34">
        <f>A32+1</f>
        <v/>
      </c>
      <c r="B33" s="29">
        <f>F32</f>
        <v/>
      </c>
      <c r="C33" s="35">
        <f>IF(A33&lt;=$C$8,$G$7,$C$9)</f>
        <v/>
      </c>
      <c r="D33" s="29">
        <f>B33*C33</f>
        <v/>
      </c>
      <c r="E33" s="29">
        <f>G33-D33</f>
        <v/>
      </c>
      <c r="F33" s="29">
        <f>MAX(0,B33-E33)</f>
        <v/>
      </c>
      <c r="G33" s="29">
        <f>MIN(IF(A33&lt;=$C$8,$G$9,$G$11),B33+D33)</f>
        <v/>
      </c>
      <c r="H33" s="29">
        <f>Kalkulation!$D$30*(1+$C$6)^(A33-1)</f>
        <v/>
      </c>
      <c r="I33" s="29">
        <f>Kalkulation!$I$11*(1+$C$7)^(A33-1)</f>
        <v/>
      </c>
      <c r="J33" s="29">
        <f>H33-G33-I33</f>
        <v/>
      </c>
      <c r="K33" s="29">
        <f>J33-((H33-D33-Kalkulation!$I$19-I33)*Kalkulation!$H$20)</f>
        <v/>
      </c>
      <c r="L33" s="29">
        <f>L32+K33</f>
        <v/>
      </c>
    </row>
    <row r="34">
      <c r="A34" s="34">
        <f>A33+1</f>
        <v/>
      </c>
      <c r="B34" s="29">
        <f>F33</f>
        <v/>
      </c>
      <c r="C34" s="35">
        <f>IF(A34&lt;=$C$8,$G$7,$C$9)</f>
        <v/>
      </c>
      <c r="D34" s="29">
        <f>B34*C34</f>
        <v/>
      </c>
      <c r="E34" s="29">
        <f>G34-D34</f>
        <v/>
      </c>
      <c r="F34" s="29">
        <f>MAX(0,B34-E34)</f>
        <v/>
      </c>
      <c r="G34" s="29">
        <f>MIN(IF(A34&lt;=$C$8,$G$9,$G$11),B34+D34)</f>
        <v/>
      </c>
      <c r="H34" s="29">
        <f>Kalkulation!$D$30*(1+$C$6)^(A34-1)</f>
        <v/>
      </c>
      <c r="I34" s="29">
        <f>Kalkulation!$I$11*(1+$C$7)^(A34-1)</f>
        <v/>
      </c>
      <c r="J34" s="29">
        <f>H34-G34-I34</f>
        <v/>
      </c>
      <c r="K34" s="29">
        <f>J34-((H34-D34-Kalkulation!$I$19-I34)*Kalkulation!$H$20)</f>
        <v/>
      </c>
      <c r="L34" s="29">
        <f>L33+K34</f>
        <v/>
      </c>
    </row>
    <row r="37">
      <c r="B37" s="4" t="inlineStr">
        <is>
          <t>Auf einen Blick</t>
        </is>
      </c>
    </row>
    <row r="38">
      <c r="B38" s="5" t="inlineStr">
        <is>
          <t>Restschuld nach 10 Jahren</t>
        </is>
      </c>
      <c r="D38" s="36">
        <f>F24</f>
        <v/>
      </c>
      <c r="I38" s="3" t="inlineStr">
        <is>
          <t>→ Zins-Sensitivität: oben den 'Anschlusszins' (C9) ändern.</t>
        </is>
      </c>
    </row>
    <row r="39">
      <c r="B39" s="5" t="inlineStr">
        <is>
          <t>Restschuld nach 20 Jahren</t>
        </is>
      </c>
      <c r="D39" s="36">
        <f>F34</f>
        <v/>
      </c>
      <c r="I39" s="3" t="inlineStr">
        <is>
          <t xml:space="preserve">   Ab Jahr 11 (nach Zinsbindung) rechnet die Tabelle mit dem neuen Zins.</t>
        </is>
      </c>
    </row>
    <row r="40">
      <c r="B40" s="5" t="inlineStr">
        <is>
          <t>getilgt nach 20 J.</t>
        </is>
      </c>
      <c r="D40" s="25">
        <f>$G$6-F34</f>
        <v/>
      </c>
      <c r="I40" s="3" t="inlineStr">
        <is>
          <t xml:space="preserve">   So siehst du, was bei steigenden Zinsen mit deinem Cashflow passiert.</t>
        </is>
      </c>
    </row>
    <row r="41">
      <c r="B41" s="5" t="inlineStr">
        <is>
          <t>Cashflow kumuliert (20 J., n. St.)</t>
        </is>
      </c>
      <c r="D41" s="36">
        <f>L34</f>
        <v/>
      </c>
    </row>
    <row r="42">
      <c r="B42" s="14" t="inlineStr">
        <is>
          <t>Vermögenszuwachs 20 J. (Tilgung + CF kum.)</t>
        </is>
      </c>
      <c r="C42" s="15" t="inlineStr"/>
      <c r="D42" s="22">
        <f>($G$6-F34)+L34</f>
        <v/>
      </c>
      <c r="I42" s="3" t="inlineStr">
        <is>
          <t>Hinweis: ohne Immobilien-Wertsteigerung gerechnet (konservativ).</t>
        </is>
      </c>
    </row>
  </sheetData>
  <mergeCells count="4">
    <mergeCell ref="A13:L13"/>
    <mergeCell ref="B37:G37"/>
    <mergeCell ref="E5:G5"/>
    <mergeCell ref="B5:C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2026-06-16T17:22:43Z</dcterms:created>
  <dcterms:modified xmlns:dcterms="http://purl.org/dc/terms/" xmlns:xsi="http://www.w3.org/2001/XMLSchema-instance" xsi:type="dcterms:W3CDTF">2026-06-16T17:22:43Z</dcterms:modified>
</cp:coreProperties>
</file>